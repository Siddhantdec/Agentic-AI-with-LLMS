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boardingTasks" sheetId="1" state="visible" r:id="rId3"/>
    <sheet name="Dashboard" sheetId="2" state="visible" r:id="rId4"/>
    <sheet name="Zapier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<sst xmlns="http://schemas.openxmlformats.org/spreadsheetml/2006/main" count="345" uniqueCount="213">
  <si>
    <t xml:space="preserve">HR Onboarding Tasks — Daily Digest Agent</t>
  </si>
  <si>
    <t xml:space="preserve">Zapier reads this sheet every morning at 8am  |  Filter: Status = Open  |  Tab name must stay: OnboardingTasks</t>
  </si>
  <si>
    <t xml:space="preserve">TaskName</t>
  </si>
  <si>
    <t xml:space="preserve">AssigneeName</t>
  </si>
  <si>
    <t xml:space="preserve">AssigneeEmail</t>
  </si>
  <si>
    <t xml:space="preserve">DueDate</t>
  </si>
  <si>
    <t xml:space="preserve">Status</t>
  </si>
  <si>
    <t xml:space="preserve">Priority</t>
  </si>
  <si>
    <t xml:space="preserve">Department</t>
  </si>
  <si>
    <t xml:space="preserve">OnboardingWeek</t>
  </si>
  <si>
    <t xml:space="preserve">Notes</t>
  </si>
  <si>
    <t xml:space="preserve">LastUpdated</t>
  </si>
  <si>
    <t xml:space="preserve">TaskID</t>
  </si>
  <si>
    <t xml:space="preserve">Complete I-9 Employment Verification</t>
  </si>
  <si>
    <t xml:space="preserve">Sarah Mitchell</t>
  </si>
  <si>
    <t xml:space="preserve">sarah.mitchell@techcorp.com</t>
  </si>
  <si>
    <t xml:space="preserve">14/04/2025</t>
  </si>
  <si>
    <t xml:space="preserve">Open</t>
  </si>
  <si>
    <t xml:space="preserve">High</t>
  </si>
  <si>
    <t xml:space="preserve">Engineering</t>
  </si>
  <si>
    <t xml:space="preserve">Documents submitted — awaiting HR sign-off</t>
  </si>
  <si>
    <t xml:space="preserve">07/03/2025</t>
  </si>
  <si>
    <t xml:space="preserve">TSK-001</t>
  </si>
  <si>
    <t xml:space="preserve">Set up company laptop and software</t>
  </si>
  <si>
    <t xml:space="preserve">10/04/2025</t>
  </si>
  <si>
    <t xml:space="preserve">IT ticket raised — laptop not yet collected</t>
  </si>
  <si>
    <t xml:space="preserve">06/03/2025</t>
  </si>
  <si>
    <t xml:space="preserve">TSK-002</t>
  </si>
  <si>
    <t xml:space="preserve">Enrol in company benefits portal</t>
  </si>
  <si>
    <t xml:space="preserve">Ravi Sharma</t>
  </si>
  <si>
    <t xml:space="preserve">ravi.sharma@techcorp.com</t>
  </si>
  <si>
    <t xml:space="preserve">15/04/2025</t>
  </si>
  <si>
    <t xml:space="preserve">Medium</t>
  </si>
  <si>
    <t xml:space="preserve">Marketing</t>
  </si>
  <si>
    <t xml:space="preserve">Benefits guide sent by email on 01/03</t>
  </si>
  <si>
    <t xml:space="preserve">05/03/2025</t>
  </si>
  <si>
    <t xml:space="preserve">TSK-003</t>
  </si>
  <si>
    <t xml:space="preserve">Complete mandatory GDPR training</t>
  </si>
  <si>
    <t xml:space="preserve">08/03/2025</t>
  </si>
  <si>
    <t xml:space="preserve">OVERDUE — follow up required immediately</t>
  </si>
  <si>
    <t xml:space="preserve">01/03/2025</t>
  </si>
  <si>
    <t xml:space="preserve">TSK-004</t>
  </si>
  <si>
    <t xml:space="preserve">Schedule 1-to-1 with line manager</t>
  </si>
  <si>
    <t xml:space="preserve">Liu Wei</t>
  </si>
  <si>
    <t xml:space="preserve">liu.wei@techcorp.com</t>
  </si>
  <si>
    <t xml:space="preserve">18/04/2025</t>
  </si>
  <si>
    <t xml:space="preserve">Finance</t>
  </si>
  <si>
    <t xml:space="preserve">Manager availability: Tuesday or Thursday afternoon</t>
  </si>
  <si>
    <t xml:space="preserve">TSK-005</t>
  </si>
  <si>
    <t xml:space="preserve">Sign employment contract addendum</t>
  </si>
  <si>
    <t xml:space="preserve">Amara Diallo</t>
  </si>
  <si>
    <t xml:space="preserve">amara.diallo@techcorp.com</t>
  </si>
  <si>
    <t xml:space="preserve">HR</t>
  </si>
  <si>
    <t xml:space="preserve">Due TODAY — contract in DocuSign inbox</t>
  </si>
  <si>
    <t xml:space="preserve">04/03/2025</t>
  </si>
  <si>
    <t xml:space="preserve">TSK-006</t>
  </si>
  <si>
    <t xml:space="preserve">Complete health &amp; safety induction</t>
  </si>
  <si>
    <t xml:space="preserve">21/04/2025</t>
  </si>
  <si>
    <t xml:space="preserve">Book via facilities portal — 2hr session</t>
  </si>
  <si>
    <t xml:space="preserve">TSK-007</t>
  </si>
  <si>
    <t xml:space="preserve">Set up Slack and Teams accounts</t>
  </si>
  <si>
    <t xml:space="preserve">Tom Bradley</t>
  </si>
  <si>
    <t xml:space="preserve">tom.bradley@techcorp.com</t>
  </si>
  <si>
    <t xml:space="preserve">11/04/2025</t>
  </si>
  <si>
    <t xml:space="preserve">In Progress</t>
  </si>
  <si>
    <t xml:space="preserve">Sales</t>
  </si>
  <si>
    <t xml:space="preserve">IT in progress — ETA tomorrow</t>
  </si>
  <si>
    <t xml:space="preserve">TSK-008</t>
  </si>
  <si>
    <t xml:space="preserve">Attend company orientation session</t>
  </si>
  <si>
    <t xml:space="preserve">Low</t>
  </si>
  <si>
    <t xml:space="preserve">Next session: 14 April 2pm — calendar invite sent</t>
  </si>
  <si>
    <t xml:space="preserve">TSK-009</t>
  </si>
  <si>
    <t xml:space="preserve">Submit bank details for payroll</t>
  </si>
  <si>
    <t xml:space="preserve">Priya Nair</t>
  </si>
  <si>
    <t xml:space="preserve">priya.nair@techcorp.com</t>
  </si>
  <si>
    <t xml:space="preserve">09/03/2025</t>
  </si>
  <si>
    <t xml:space="preserve">Payroll cutoff is 10/03 — urgent</t>
  </si>
  <si>
    <t xml:space="preserve">TSK-010</t>
  </si>
  <si>
    <t xml:space="preserve">Complete diversity &amp; inclusion training</t>
  </si>
  <si>
    <t xml:space="preserve">22/04/2025</t>
  </si>
  <si>
    <t xml:space="preserve">Online module — approx 45 mins</t>
  </si>
  <si>
    <t xml:space="preserve">TSK-011</t>
  </si>
  <si>
    <t xml:space="preserve">Obtain building access pass</t>
  </si>
  <si>
    <t xml:space="preserve">James Okafor</t>
  </si>
  <si>
    <t xml:space="preserve">james.okafor@techcorp.com</t>
  </si>
  <si>
    <t xml:space="preserve">12/04/2025</t>
  </si>
  <si>
    <t xml:space="preserve">Photo ID required — bring passport to reception</t>
  </si>
  <si>
    <t xml:space="preserve">TSK-012</t>
  </si>
  <si>
    <t xml:space="preserve">Shadow senior team member for 2 days</t>
  </si>
  <si>
    <t xml:space="preserve">25/04/2025</t>
  </si>
  <si>
    <t xml:space="preserve">Buddy assigned: Claire Bennett — contact direct</t>
  </si>
  <si>
    <t xml:space="preserve">TSK-013</t>
  </si>
  <si>
    <t xml:space="preserve">Complete payroll setup form</t>
  </si>
  <si>
    <t xml:space="preserve">Claire Bennett</t>
  </si>
  <si>
    <t xml:space="preserve">claire.bennett@techcorp.com</t>
  </si>
  <si>
    <t xml:space="preserve">Complete</t>
  </si>
  <si>
    <t xml:space="preserve">Submitted 05/03 — confirmed by payroll team</t>
  </si>
  <si>
    <t xml:space="preserve">TSK-014</t>
  </si>
  <si>
    <t xml:space="preserve">Attend IT security briefing</t>
  </si>
  <si>
    <t xml:space="preserve">Ahmed Hassan</t>
  </si>
  <si>
    <t xml:space="preserve">ahmed.hassan@techcorp.com</t>
  </si>
  <si>
    <t xml:space="preserve">16/04/2025</t>
  </si>
  <si>
    <t xml:space="preserve">Mandatory for all new hires — 1hr session</t>
  </si>
  <si>
    <t xml:space="preserve">TSK-015</t>
  </si>
  <si>
    <t xml:space="preserve">Review and sign acceptable use policy</t>
  </si>
  <si>
    <t xml:space="preserve">13/04/2025</t>
  </si>
  <si>
    <t xml:space="preserve">Policy document sent via DocuSign</t>
  </si>
  <si>
    <t xml:space="preserve">TSK-016</t>
  </si>
  <si>
    <t xml:space="preserve">Set up expense reporting account</t>
  </si>
  <si>
    <t xml:space="preserve">Yuki Tanaka</t>
  </si>
  <si>
    <t xml:space="preserve">yuki.tanaka@techcorp.com</t>
  </si>
  <si>
    <t xml:space="preserve">20/04/2025</t>
  </si>
  <si>
    <t xml:space="preserve">Use Concur system — guide attached to onboarding doc</t>
  </si>
  <si>
    <t xml:space="preserve">TSK-017</t>
  </si>
  <si>
    <t xml:space="preserve">Complete fire safety walkthrough</t>
  </si>
  <si>
    <t xml:space="preserve">17/04/2025</t>
  </si>
  <si>
    <t xml:space="preserve">Booked for 17 April with facilities team</t>
  </si>
  <si>
    <t xml:space="preserve">TSK-018</t>
  </si>
  <si>
    <t xml:space="preserve">Submit emergency contact details</t>
  </si>
  <si>
    <t xml:space="preserve">Maria Santos</t>
  </si>
  <si>
    <t xml:space="preserve">maria.santos@techcorp.com</t>
  </si>
  <si>
    <t xml:space="preserve">OVERDUE — HR system form not yet completed</t>
  </si>
  <si>
    <t xml:space="preserve">TSK-019</t>
  </si>
  <si>
    <t xml:space="preserve">Complete probation review paperwork</t>
  </si>
  <si>
    <t xml:space="preserve">30/04/2025</t>
  </si>
  <si>
    <t xml:space="preserve">Manager to initiate review form 1 week before</t>
  </si>
  <si>
    <t xml:space="preserve">TSK-020</t>
  </si>
  <si>
    <t xml:space="preserve">TOTALS</t>
  </si>
  <si>
    <t xml:space="preserve">High Priority</t>
  </si>
  <si>
    <t xml:space="preserve">Medium Priority</t>
  </si>
  <si>
    <t xml:space="preserve">Low Priority</t>
  </si>
  <si>
    <t xml:space="preserve">Total Tasks</t>
  </si>
  <si>
    <t xml:space="preserve">HR Onboarding Dashboard</t>
  </si>
  <si>
    <t xml:space="preserve">Live summary — automatically calculated from OnboardingTasks sheet</t>
  </si>
  <si>
    <t xml:space="preserve">Due This Week</t>
  </si>
  <si>
    <t xml:space="preserve">Open Tasks by Department</t>
  </si>
  <si>
    <t xml:space="preserve">Open Tasks by Priority</t>
  </si>
  <si>
    <t xml:space="preserve">Zapier Agent Configuration</t>
  </si>
  <si>
    <t xml:space="preserve">Spreadsheet Tab Name</t>
  </si>
  <si>
    <t xml:space="preserve">OnboardingTasks</t>
  </si>
  <si>
    <t xml:space="preserve">This exact name must be used in the Zapier Google Sheets step</t>
  </si>
  <si>
    <t xml:space="preserve">Filter Field</t>
  </si>
  <si>
    <t xml:space="preserve">Zapier filters on this column</t>
  </si>
  <si>
    <t xml:space="preserve">Filter Value</t>
  </si>
  <si>
    <t xml:space="preserve">Only rows with Status = Open are pulled</t>
  </si>
  <si>
    <t xml:space="preserve">Trigger Time</t>
  </si>
  <si>
    <t xml:space="preserve">8:00 AM weekdays</t>
  </si>
  <si>
    <t xml:space="preserve">Set in Schedule by Zapier trigger</t>
  </si>
  <si>
    <t xml:space="preserve">AI Prompt Column Order</t>
  </si>
  <si>
    <t xml:space="preserve">TaskName, AssigneeName, DueDate, Priority, Department</t>
  </si>
  <si>
    <t xml:space="preserve">Formatter joins these into text block</t>
  </si>
  <si>
    <t xml:space="preserve">WhatsApp Format</t>
  </si>
  <si>
    <t xml:space="preserve">whatsapp:+[country code][number]</t>
  </si>
  <si>
    <t xml:space="preserve">e.g. whatsapp:+447700900123</t>
  </si>
  <si>
    <t xml:space="preserve">Quick Zapier Setup Reference</t>
  </si>
  <si>
    <t xml:space="preserve">Use this sheet alongside the step-by-step Zapier guide</t>
  </si>
  <si>
    <t xml:space="preserve">STEP</t>
  </si>
  <si>
    <t xml:space="preserve">ZAP STEP</t>
  </si>
  <si>
    <t xml:space="preserve">SETTING</t>
  </si>
  <si>
    <t xml:space="preserve">VALUE TO USE</t>
  </si>
  <si>
    <t xml:space="preserve">NOTES</t>
  </si>
  <si>
    <t xml:space="preserve">1</t>
  </si>
  <si>
    <t xml:space="preserve">Schedule Trigger</t>
  </si>
  <si>
    <t xml:space="preserve">Trigger type</t>
  </si>
  <si>
    <t xml:space="preserve">Every Day</t>
  </si>
  <si>
    <t xml:space="preserve">Time of Day</t>
  </si>
  <si>
    <t xml:space="preserve">8:00 AM</t>
  </si>
  <si>
    <t xml:space="preserve">Change to your preferred time</t>
  </si>
  <si>
    <t xml:space="preserve">Days of Week</t>
  </si>
  <si>
    <t xml:space="preserve">Mon, Tue, Wed, Thu, Fri</t>
  </si>
  <si>
    <t xml:space="preserve">Uncheck Sat and Sun</t>
  </si>
  <si>
    <t xml:space="preserve">2</t>
  </si>
  <si>
    <t xml:space="preserve">Google Sheets</t>
  </si>
  <si>
    <t xml:space="preserve">Action Event</t>
  </si>
  <si>
    <t xml:space="preserve">Get Many Spreadsheet Rows</t>
  </si>
  <si>
    <t xml:space="preserve">NOT Get Spreadsheet Row</t>
  </si>
  <si>
    <t xml:space="preserve">Worksheet</t>
  </si>
  <si>
    <t xml:space="preserve">Must match tab name exactly</t>
  </si>
  <si>
    <t xml:space="preserve">Capital O, no spaces</t>
  </si>
  <si>
    <t xml:space="preserve">3</t>
  </si>
  <si>
    <t xml:space="preserve">Filter by Zapier</t>
  </si>
  <si>
    <t xml:space="preserve">Condition</t>
  </si>
  <si>
    <t xml:space="preserve">TaskName — Exists</t>
  </si>
  <si>
    <t xml:space="preserve">Stops Zap if no open tasks</t>
  </si>
  <si>
    <t xml:space="preserve">4</t>
  </si>
  <si>
    <t xml:space="preserve">Formatter by Zapier</t>
  </si>
  <si>
    <t xml:space="preserve">Event</t>
  </si>
  <si>
    <t xml:space="preserve">Utilities</t>
  </si>
  <si>
    <t xml:space="preserve">Transform</t>
  </si>
  <si>
    <t xml:space="preserve">Line Itemizer</t>
  </si>
  <si>
    <t xml:space="preserve">Joins all tasks into one block</t>
  </si>
  <si>
    <t xml:space="preserve">5</t>
  </si>
  <si>
    <t xml:space="preserve">AI by Zapier</t>
  </si>
  <si>
    <t xml:space="preserve">Summarize Text</t>
  </si>
  <si>
    <t xml:space="preserve">Input</t>
  </si>
  <si>
    <t xml:space="preserve">Map Formatter output here</t>
  </si>
  <si>
    <t xml:space="preserve">Click lightning bolt to select</t>
  </si>
  <si>
    <t xml:space="preserve">6</t>
  </si>
  <si>
    <t xml:space="preserve">Gmail</t>
  </si>
  <si>
    <t xml:space="preserve">Body Type</t>
  </si>
  <si>
    <t xml:space="preserve">HTML</t>
  </si>
  <si>
    <t xml:space="preserve">Must be HTML not plain text</t>
  </si>
  <si>
    <t xml:space="preserve">To</t>
  </si>
  <si>
    <t xml:space="preserve">hrmanager@yourcompany.com</t>
  </si>
  <si>
    <t xml:space="preserve">Replace with real email</t>
  </si>
  <si>
    <t xml:space="preserve">7</t>
  </si>
  <si>
    <t xml:space="preserve">Twilio</t>
  </si>
  <si>
    <t xml:space="preserve">Send WhatsApp Message</t>
  </si>
  <si>
    <t xml:space="preserve">From</t>
  </si>
  <si>
    <t xml:space="preserve">whatsapp:+14155238886</t>
  </si>
  <si>
    <t xml:space="preserve">Twilio sandbox number</t>
  </si>
  <si>
    <t xml:space="preserve">whatsapp:+[HR manager number]</t>
  </si>
  <si>
    <t xml:space="preserve">Include country code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</si>
</sst>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01F1E"/>
      <name val="Arial"/>
      <family val="0"/>
      <charset val="1"/>
    </font>
    <font>
      <b val="true"/>
      <sz val="10"/>
      <color rgb="FFD13438"/>
      <name val="Arial"/>
      <family val="0"/>
      <charset val="1"/>
    </font>
    <font>
      <i val="true"/>
      <sz val="9"/>
      <color rgb="FF605E5C"/>
      <name val="Arial"/>
      <family val="0"/>
      <charset val="1"/>
    </font>
    <font>
      <sz val="9"/>
      <color rgb="FF605E5C"/>
      <name val="Arial"/>
      <family val="0"/>
      <charset val="1"/>
    </font>
    <font>
      <b val="true"/>
      <sz val="10"/>
      <color rgb="FFCA5010"/>
      <name val="Arial"/>
      <family val="0"/>
      <charset val="1"/>
    </font>
    <font>
      <b val="true"/>
      <sz val="10"/>
      <color rgb="FF0078D4"/>
      <name val="Arial"/>
      <family val="0"/>
      <charset val="1"/>
    </font>
    <font>
      <b val="true"/>
      <sz val="10"/>
      <color rgb="FF107C10"/>
      <name val="Arial"/>
      <family val="0"/>
      <charset val="1"/>
    </font>
    <font>
      <b val="true"/>
      <sz val="9"/>
      <color rgb="FFD13438"/>
      <name val="Arial"/>
      <family val="0"/>
      <charset val="1"/>
    </font>
    <font>
      <b val="true"/>
      <sz val="9"/>
      <color rgb="FFCA5010"/>
      <name val="Arial"/>
      <family val="0"/>
      <charset val="1"/>
    </font>
    <font>
      <b val="true"/>
      <sz val="9"/>
      <color rgb="FF107C10"/>
      <name val="Arial"/>
      <family val="0"/>
      <charset val="1"/>
    </font>
    <font>
      <b val="true"/>
      <sz val="9"/>
      <color rgb="FF0078D4"/>
      <name val="Arial"/>
      <family val="0"/>
      <charset val="1"/>
    </font>
    <font>
      <b val="true"/>
      <sz val="9"/>
      <color rgb="FF201F1E"/>
      <name val="Arial"/>
      <family val="0"/>
      <charset val="1"/>
    </font>
    <font>
      <b val="true"/>
      <sz val="12"/>
      <color rgb="FFD13438"/>
      <name val="Arial"/>
      <family val="0"/>
      <charset val="1"/>
    </font>
    <font>
      <b val="true"/>
      <sz val="12"/>
      <color rgb="FFCA5010"/>
      <name val="Arial"/>
      <family val="0"/>
      <charset val="1"/>
    </font>
    <font>
      <b val="true"/>
      <sz val="12"/>
      <color rgb="FF107C10"/>
      <name val="Arial"/>
      <family val="0"/>
      <charset val="1"/>
    </font>
    <font>
      <b val="true"/>
      <sz val="12"/>
      <color rgb="FF0078D4"/>
      <name val="Arial"/>
      <family val="0"/>
      <charset val="1"/>
    </font>
    <font>
      <b val="true"/>
      <sz val="12"/>
      <color rgb="FF201F1E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2"/>
      <color rgb="FF0A1628"/>
      <name val="Arial"/>
      <family val="0"/>
      <charset val="1"/>
    </font>
    <font>
      <b val="true"/>
      <sz val="22"/>
      <color rgb="FFD13438"/>
      <name val="Arial"/>
      <family val="0"/>
      <charset val="1"/>
    </font>
    <font>
      <b val="true"/>
      <sz val="22"/>
      <color rgb="FFCA5010"/>
      <name val="Arial"/>
      <family val="0"/>
      <charset val="1"/>
    </font>
    <font>
      <b val="true"/>
      <sz val="22"/>
      <color rgb="FF107C10"/>
      <name val="Arial"/>
      <family val="0"/>
      <charset val="1"/>
    </font>
    <font>
      <b val="true"/>
      <sz val="22"/>
      <color rgb="FF5C2D9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01F1E"/>
      <name val="Arial"/>
      <family val="0"/>
      <charset val="1"/>
    </font>
    <font>
      <b val="true"/>
      <sz val="11"/>
      <color rgb="FF0078D4"/>
      <name val="Arial"/>
      <family val="0"/>
      <charset val="1"/>
    </font>
    <font>
      <sz val="10"/>
      <color rgb="FF605E5C"/>
      <name val="Arial"/>
      <family val="0"/>
      <charset val="1"/>
    </font>
    <font>
      <b val="true"/>
      <sz val="20"/>
      <color rgb="FFD13438"/>
      <name val="Arial"/>
      <family val="0"/>
      <charset val="1"/>
    </font>
    <font>
      <b val="true"/>
      <sz val="20"/>
      <color rgb="FFCA5010"/>
      <name val="Arial"/>
      <family val="0"/>
      <charset val="1"/>
    </font>
    <font>
      <b val="true"/>
      <sz val="20"/>
      <color rgb="FF0078D4"/>
      <name val="Arial"/>
      <family val="0"/>
      <charset val="1"/>
    </font>
    <font>
      <sz val="9.5"/>
      <color rgb="FF201F1E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A1628"/>
        <bgColor rgb="FF201F1E"/>
      </patternFill>
    </fill>
    <fill>
      <patternFill patternType="solid">
        <fgColor rgb="FF0078D4"/>
        <bgColor rgb="FF008080"/>
      </patternFill>
    </fill>
    <fill>
      <patternFill patternType="solid">
        <fgColor rgb="FF1A2A42"/>
        <bgColor rgb="FF201F1E"/>
      </patternFill>
    </fill>
    <fill>
      <patternFill patternType="solid">
        <fgColor rgb="FFFFFFFF"/>
        <bgColor rgb="FFFAFAFA"/>
      </patternFill>
    </fill>
    <fill>
      <patternFill patternType="solid">
        <fgColor rgb="FFFDE7E9"/>
        <bgColor rgb="FFEDEBE9"/>
      </patternFill>
    </fill>
    <fill>
      <patternFill patternType="solid">
        <fgColor rgb="FFFAFAFA"/>
        <bgColor rgb="FFFFFFFF"/>
      </patternFill>
    </fill>
    <fill>
      <patternFill patternType="solid">
        <fgColor rgb="FFFFF4CE"/>
        <bgColor rgb="FFF3F2F1"/>
      </patternFill>
    </fill>
    <fill>
      <patternFill patternType="solid">
        <fgColor rgb="FFEFF6FF"/>
        <bgColor rgb="FFF3F2F1"/>
      </patternFill>
    </fill>
    <fill>
      <patternFill patternType="solid">
        <fgColor rgb="FFDFF6DD"/>
        <bgColor rgb="FFEDEBE9"/>
      </patternFill>
    </fill>
    <fill>
      <patternFill patternType="solid">
        <fgColor rgb="FFF3F2F1"/>
        <bgColor rgb="FFEFF6FF"/>
      </patternFill>
    </fill>
    <fill>
      <patternFill patternType="solid">
        <fgColor rgb="FFD13438"/>
        <bgColor rgb="FFCA5010"/>
      </patternFill>
    </fill>
    <fill>
      <patternFill patternType="solid">
        <fgColor rgb="FFCA5010"/>
        <bgColor rgb="FFD13438"/>
      </patternFill>
    </fill>
    <fill>
      <patternFill patternType="solid">
        <fgColor rgb="FF107C10"/>
        <bgColor rgb="FF008080"/>
      </patternFill>
    </fill>
    <fill>
      <patternFill patternType="solid">
        <fgColor rgb="FF5C2D91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DEBE9"/>
      </left>
      <right style="thin">
        <color rgb="FFEDEBE9"/>
      </right>
      <top style="thin">
        <color rgb="FFEDEBE9"/>
      </top>
      <bottom style="thin">
        <color rgb="FFEDEBE9"/>
      </bottom>
      <diagonal/>
    </border>
    <border diagonalUp="false" diagonalDown="false">
      <left style="thin">
        <color rgb="FFEDEBE9"/>
      </left>
      <right/>
      <top style="thin">
        <color rgb="FFEDEBE9"/>
      </top>
      <bottom style="thin">
        <color rgb="FFEDEB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D13438"/>
      <rgbColor rgb="FFFFF4CE"/>
      <rgbColor rgb="FFEFF6FF"/>
      <rgbColor rgb="FF660066"/>
      <rgbColor rgb="FFFF8080"/>
      <rgbColor rgb="FF0078D4"/>
      <rgbColor rgb="FFEDEB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2F1"/>
      <rgbColor rgb="FFDFF6DD"/>
      <rgbColor rgb="FFFDE7E9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CA5010"/>
      <rgbColor rgb="FF605E5C"/>
      <rgbColor rgb="FF969696"/>
      <rgbColor rgb="FF003366"/>
      <rgbColor rgb="FF339966"/>
      <rgbColor rgb="FF0A1628"/>
      <rgbColor rgb="FF201F1E"/>
      <rgbColor rgb="FF993300"/>
      <rgbColor rgb="FF993366"/>
      <rgbColor rgb="FF5C2D91"/>
      <rgbColor rgb="FF1A2A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36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9.5" hidden="false" customHeight="tru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5" t="s">
        <v>17</v>
      </c>
      <c r="F4" s="5" t="s">
        <v>18</v>
      </c>
      <c r="G4" s="4" t="s">
        <v>19</v>
      </c>
      <c r="H4" s="6" t="n">
        <v>1</v>
      </c>
      <c r="I4" s="7" t="s">
        <v>20</v>
      </c>
      <c r="J4" s="4" t="s">
        <v>21</v>
      </c>
      <c r="K4" s="8" t="s">
        <v>22</v>
      </c>
    </row>
    <row r="5" customFormat="false" ht="19.5" hidden="false" customHeight="true" outlineLevel="0" collapsed="false">
      <c r="A5" s="9" t="s">
        <v>23</v>
      </c>
      <c r="B5" s="9" t="s">
        <v>14</v>
      </c>
      <c r="C5" s="9" t="s">
        <v>15</v>
      </c>
      <c r="D5" s="9" t="s">
        <v>24</v>
      </c>
      <c r="E5" s="5" t="s">
        <v>17</v>
      </c>
      <c r="F5" s="5" t="s">
        <v>18</v>
      </c>
      <c r="G5" s="9" t="s">
        <v>19</v>
      </c>
      <c r="H5" s="10" t="n">
        <v>1</v>
      </c>
      <c r="I5" s="11" t="s">
        <v>25</v>
      </c>
      <c r="J5" s="9" t="s">
        <v>26</v>
      </c>
      <c r="K5" s="12" t="s">
        <v>27</v>
      </c>
    </row>
    <row r="6" customFormat="false" ht="19.5" hidden="false" customHeight="true" outlineLevel="0" collapsed="false">
      <c r="A6" s="4" t="s">
        <v>28</v>
      </c>
      <c r="B6" s="4" t="s">
        <v>29</v>
      </c>
      <c r="C6" s="4" t="s">
        <v>30</v>
      </c>
      <c r="D6" s="4" t="s">
        <v>31</v>
      </c>
      <c r="E6" s="5" t="s">
        <v>17</v>
      </c>
      <c r="F6" s="13" t="s">
        <v>32</v>
      </c>
      <c r="G6" s="4" t="s">
        <v>33</v>
      </c>
      <c r="H6" s="6" t="n">
        <v>1</v>
      </c>
      <c r="I6" s="7" t="s">
        <v>34</v>
      </c>
      <c r="J6" s="4" t="s">
        <v>35</v>
      </c>
      <c r="K6" s="8" t="s">
        <v>36</v>
      </c>
    </row>
    <row r="7" customFormat="false" ht="19.5" hidden="false" customHeight="true" outlineLevel="0" collapsed="false">
      <c r="A7" s="9" t="s">
        <v>37</v>
      </c>
      <c r="B7" s="9" t="s">
        <v>29</v>
      </c>
      <c r="C7" s="9" t="s">
        <v>30</v>
      </c>
      <c r="D7" s="9" t="s">
        <v>38</v>
      </c>
      <c r="E7" s="5" t="s">
        <v>17</v>
      </c>
      <c r="F7" s="5" t="s">
        <v>18</v>
      </c>
      <c r="G7" s="9" t="s">
        <v>33</v>
      </c>
      <c r="H7" s="10" t="n">
        <v>1</v>
      </c>
      <c r="I7" s="11" t="s">
        <v>39</v>
      </c>
      <c r="J7" s="9" t="s">
        <v>40</v>
      </c>
      <c r="K7" s="12" t="s">
        <v>41</v>
      </c>
    </row>
    <row r="8" customFormat="false" ht="19.5" hidden="false" customHeight="true" outlineLevel="0" collapsed="false">
      <c r="A8" s="4" t="s">
        <v>42</v>
      </c>
      <c r="B8" s="4" t="s">
        <v>43</v>
      </c>
      <c r="C8" s="4" t="s">
        <v>44</v>
      </c>
      <c r="D8" s="4" t="s">
        <v>45</v>
      </c>
      <c r="E8" s="5" t="s">
        <v>17</v>
      </c>
      <c r="F8" s="13" t="s">
        <v>32</v>
      </c>
      <c r="G8" s="4" t="s">
        <v>46</v>
      </c>
      <c r="H8" s="6" t="n">
        <v>2</v>
      </c>
      <c r="I8" s="7" t="s">
        <v>47</v>
      </c>
      <c r="J8" s="4" t="s">
        <v>21</v>
      </c>
      <c r="K8" s="8" t="s">
        <v>48</v>
      </c>
    </row>
    <row r="9" customFormat="false" ht="19.5" hidden="false" customHeight="true" outlineLevel="0" collapsed="false">
      <c r="A9" s="9" t="s">
        <v>49</v>
      </c>
      <c r="B9" s="9" t="s">
        <v>50</v>
      </c>
      <c r="C9" s="9" t="s">
        <v>51</v>
      </c>
      <c r="D9" s="9" t="s">
        <v>21</v>
      </c>
      <c r="E9" s="5" t="s">
        <v>17</v>
      </c>
      <c r="F9" s="5" t="s">
        <v>18</v>
      </c>
      <c r="G9" s="9" t="s">
        <v>52</v>
      </c>
      <c r="H9" s="10" t="n">
        <v>1</v>
      </c>
      <c r="I9" s="11" t="s">
        <v>53</v>
      </c>
      <c r="J9" s="9" t="s">
        <v>54</v>
      </c>
      <c r="K9" s="12" t="s">
        <v>55</v>
      </c>
    </row>
    <row r="10" customFormat="false" ht="19.5" hidden="false" customHeight="true" outlineLevel="0" collapsed="false">
      <c r="A10" s="4" t="s">
        <v>56</v>
      </c>
      <c r="B10" s="4" t="s">
        <v>50</v>
      </c>
      <c r="C10" s="4" t="s">
        <v>51</v>
      </c>
      <c r="D10" s="4" t="s">
        <v>57</v>
      </c>
      <c r="E10" s="5" t="s">
        <v>17</v>
      </c>
      <c r="F10" s="13" t="s">
        <v>32</v>
      </c>
      <c r="G10" s="4" t="s">
        <v>52</v>
      </c>
      <c r="H10" s="6" t="n">
        <v>2</v>
      </c>
      <c r="I10" s="7" t="s">
        <v>58</v>
      </c>
      <c r="J10" s="4" t="s">
        <v>21</v>
      </c>
      <c r="K10" s="8" t="s">
        <v>59</v>
      </c>
    </row>
    <row r="11" customFormat="false" ht="19.5" hidden="false" customHeight="true" outlineLevel="0" collapsed="false">
      <c r="A11" s="9" t="s">
        <v>60</v>
      </c>
      <c r="B11" s="9" t="s">
        <v>61</v>
      </c>
      <c r="C11" s="9" t="s">
        <v>62</v>
      </c>
      <c r="D11" s="9" t="s">
        <v>63</v>
      </c>
      <c r="E11" s="13" t="s">
        <v>64</v>
      </c>
      <c r="F11" s="13" t="s">
        <v>32</v>
      </c>
      <c r="G11" s="9" t="s">
        <v>65</v>
      </c>
      <c r="H11" s="10" t="n">
        <v>1</v>
      </c>
      <c r="I11" s="11" t="s">
        <v>66</v>
      </c>
      <c r="J11" s="9" t="s">
        <v>26</v>
      </c>
      <c r="K11" s="12" t="s">
        <v>67</v>
      </c>
    </row>
    <row r="12" customFormat="false" ht="19.5" hidden="false" customHeight="true" outlineLevel="0" collapsed="false">
      <c r="A12" s="4" t="s">
        <v>68</v>
      </c>
      <c r="B12" s="4" t="s">
        <v>61</v>
      </c>
      <c r="C12" s="4" t="s">
        <v>62</v>
      </c>
      <c r="D12" s="4" t="s">
        <v>16</v>
      </c>
      <c r="E12" s="5" t="s">
        <v>17</v>
      </c>
      <c r="F12" s="14" t="s">
        <v>69</v>
      </c>
      <c r="G12" s="4" t="s">
        <v>65</v>
      </c>
      <c r="H12" s="6" t="n">
        <v>1</v>
      </c>
      <c r="I12" s="7" t="s">
        <v>70</v>
      </c>
      <c r="J12" s="4" t="s">
        <v>21</v>
      </c>
      <c r="K12" s="8" t="s">
        <v>71</v>
      </c>
    </row>
    <row r="13" customFormat="false" ht="19.5" hidden="false" customHeight="true" outlineLevel="0" collapsed="false">
      <c r="A13" s="9" t="s">
        <v>72</v>
      </c>
      <c r="B13" s="9" t="s">
        <v>73</v>
      </c>
      <c r="C13" s="9" t="s">
        <v>74</v>
      </c>
      <c r="D13" s="9" t="s">
        <v>75</v>
      </c>
      <c r="E13" s="5" t="s">
        <v>17</v>
      </c>
      <c r="F13" s="5" t="s">
        <v>18</v>
      </c>
      <c r="G13" s="9" t="s">
        <v>33</v>
      </c>
      <c r="H13" s="10" t="n">
        <v>1</v>
      </c>
      <c r="I13" s="11" t="s">
        <v>76</v>
      </c>
      <c r="J13" s="9" t="s">
        <v>35</v>
      </c>
      <c r="K13" s="12" t="s">
        <v>77</v>
      </c>
    </row>
    <row r="14" customFormat="false" ht="19.5" hidden="false" customHeight="true" outlineLevel="0" collapsed="false">
      <c r="A14" s="4" t="s">
        <v>78</v>
      </c>
      <c r="B14" s="4" t="s">
        <v>73</v>
      </c>
      <c r="C14" s="4" t="s">
        <v>74</v>
      </c>
      <c r="D14" s="4" t="s">
        <v>79</v>
      </c>
      <c r="E14" s="5" t="s">
        <v>17</v>
      </c>
      <c r="F14" s="14" t="s">
        <v>69</v>
      </c>
      <c r="G14" s="4" t="s">
        <v>33</v>
      </c>
      <c r="H14" s="6" t="n">
        <v>2</v>
      </c>
      <c r="I14" s="7" t="s">
        <v>80</v>
      </c>
      <c r="J14" s="4" t="s">
        <v>21</v>
      </c>
      <c r="K14" s="8" t="s">
        <v>81</v>
      </c>
    </row>
    <row r="15" customFormat="false" ht="19.5" hidden="false" customHeight="true" outlineLevel="0" collapsed="false">
      <c r="A15" s="9" t="s">
        <v>82</v>
      </c>
      <c r="B15" s="9" t="s">
        <v>83</v>
      </c>
      <c r="C15" s="9" t="s">
        <v>84</v>
      </c>
      <c r="D15" s="9" t="s">
        <v>85</v>
      </c>
      <c r="E15" s="5" t="s">
        <v>17</v>
      </c>
      <c r="F15" s="13" t="s">
        <v>32</v>
      </c>
      <c r="G15" s="9" t="s">
        <v>19</v>
      </c>
      <c r="H15" s="10" t="n">
        <v>1</v>
      </c>
      <c r="I15" s="11" t="s">
        <v>86</v>
      </c>
      <c r="J15" s="9" t="s">
        <v>21</v>
      </c>
      <c r="K15" s="12" t="s">
        <v>87</v>
      </c>
    </row>
    <row r="16" customFormat="false" ht="19.5" hidden="false" customHeight="true" outlineLevel="0" collapsed="false">
      <c r="A16" s="4" t="s">
        <v>88</v>
      </c>
      <c r="B16" s="4" t="s">
        <v>83</v>
      </c>
      <c r="C16" s="4" t="s">
        <v>84</v>
      </c>
      <c r="D16" s="4" t="s">
        <v>89</v>
      </c>
      <c r="E16" s="5" t="s">
        <v>17</v>
      </c>
      <c r="F16" s="14" t="s">
        <v>69</v>
      </c>
      <c r="G16" s="4" t="s">
        <v>19</v>
      </c>
      <c r="H16" s="6" t="n">
        <v>2</v>
      </c>
      <c r="I16" s="7" t="s">
        <v>90</v>
      </c>
      <c r="J16" s="4" t="s">
        <v>21</v>
      </c>
      <c r="K16" s="8" t="s">
        <v>91</v>
      </c>
    </row>
    <row r="17" customFormat="false" ht="19.5" hidden="false" customHeight="true" outlineLevel="0" collapsed="false">
      <c r="A17" s="9" t="s">
        <v>92</v>
      </c>
      <c r="B17" s="9" t="s">
        <v>93</v>
      </c>
      <c r="C17" s="9" t="s">
        <v>94</v>
      </c>
      <c r="D17" s="9" t="s">
        <v>75</v>
      </c>
      <c r="E17" s="15" t="s">
        <v>95</v>
      </c>
      <c r="F17" s="5" t="s">
        <v>18</v>
      </c>
      <c r="G17" s="9" t="s">
        <v>19</v>
      </c>
      <c r="H17" s="10" t="n">
        <v>1</v>
      </c>
      <c r="I17" s="11" t="s">
        <v>96</v>
      </c>
      <c r="J17" s="9" t="s">
        <v>35</v>
      </c>
      <c r="K17" s="12" t="s">
        <v>97</v>
      </c>
    </row>
    <row r="18" customFormat="false" ht="19.5" hidden="false" customHeight="true" outlineLevel="0" collapsed="false">
      <c r="A18" s="4" t="s">
        <v>98</v>
      </c>
      <c r="B18" s="4" t="s">
        <v>99</v>
      </c>
      <c r="C18" s="4" t="s">
        <v>100</v>
      </c>
      <c r="D18" s="4" t="s">
        <v>101</v>
      </c>
      <c r="E18" s="5" t="s">
        <v>17</v>
      </c>
      <c r="F18" s="5" t="s">
        <v>18</v>
      </c>
      <c r="G18" s="4" t="s">
        <v>46</v>
      </c>
      <c r="H18" s="6" t="n">
        <v>2</v>
      </c>
      <c r="I18" s="7" t="s">
        <v>102</v>
      </c>
      <c r="J18" s="4" t="s">
        <v>21</v>
      </c>
      <c r="K18" s="8" t="s">
        <v>103</v>
      </c>
    </row>
    <row r="19" customFormat="false" ht="19.5" hidden="false" customHeight="true" outlineLevel="0" collapsed="false">
      <c r="A19" s="9" t="s">
        <v>104</v>
      </c>
      <c r="B19" s="9" t="s">
        <v>99</v>
      </c>
      <c r="C19" s="9" t="s">
        <v>100</v>
      </c>
      <c r="D19" s="9" t="s">
        <v>105</v>
      </c>
      <c r="E19" s="5" t="s">
        <v>17</v>
      </c>
      <c r="F19" s="13" t="s">
        <v>32</v>
      </c>
      <c r="G19" s="9" t="s">
        <v>46</v>
      </c>
      <c r="H19" s="10" t="n">
        <v>1</v>
      </c>
      <c r="I19" s="11" t="s">
        <v>106</v>
      </c>
      <c r="J19" s="9" t="s">
        <v>26</v>
      </c>
      <c r="K19" s="12" t="s">
        <v>107</v>
      </c>
    </row>
    <row r="20" customFormat="false" ht="19.5" hidden="false" customHeight="true" outlineLevel="0" collapsed="false">
      <c r="A20" s="4" t="s">
        <v>108</v>
      </c>
      <c r="B20" s="4" t="s">
        <v>109</v>
      </c>
      <c r="C20" s="4" t="s">
        <v>110</v>
      </c>
      <c r="D20" s="4" t="s">
        <v>111</v>
      </c>
      <c r="E20" s="5" t="s">
        <v>17</v>
      </c>
      <c r="F20" s="14" t="s">
        <v>69</v>
      </c>
      <c r="G20" s="4" t="s">
        <v>65</v>
      </c>
      <c r="H20" s="6" t="n">
        <v>2</v>
      </c>
      <c r="I20" s="7" t="s">
        <v>112</v>
      </c>
      <c r="J20" s="4" t="s">
        <v>21</v>
      </c>
      <c r="K20" s="8" t="s">
        <v>113</v>
      </c>
    </row>
    <row r="21" customFormat="false" ht="19.5" hidden="false" customHeight="true" outlineLevel="0" collapsed="false">
      <c r="A21" s="9" t="s">
        <v>114</v>
      </c>
      <c r="B21" s="9" t="s">
        <v>109</v>
      </c>
      <c r="C21" s="9" t="s">
        <v>110</v>
      </c>
      <c r="D21" s="9" t="s">
        <v>115</v>
      </c>
      <c r="E21" s="13" t="s">
        <v>64</v>
      </c>
      <c r="F21" s="13" t="s">
        <v>32</v>
      </c>
      <c r="G21" s="9" t="s">
        <v>65</v>
      </c>
      <c r="H21" s="10" t="n">
        <v>2</v>
      </c>
      <c r="I21" s="11" t="s">
        <v>116</v>
      </c>
      <c r="J21" s="9" t="s">
        <v>26</v>
      </c>
      <c r="K21" s="12" t="s">
        <v>117</v>
      </c>
    </row>
    <row r="22" customFormat="false" ht="19.5" hidden="false" customHeight="true" outlineLevel="0" collapsed="false">
      <c r="A22" s="4" t="s">
        <v>118</v>
      </c>
      <c r="B22" s="4" t="s">
        <v>119</v>
      </c>
      <c r="C22" s="4" t="s">
        <v>120</v>
      </c>
      <c r="D22" s="4" t="s">
        <v>38</v>
      </c>
      <c r="E22" s="5" t="s">
        <v>17</v>
      </c>
      <c r="F22" s="5" t="s">
        <v>18</v>
      </c>
      <c r="G22" s="4" t="s">
        <v>52</v>
      </c>
      <c r="H22" s="6" t="n">
        <v>1</v>
      </c>
      <c r="I22" s="7" t="s">
        <v>121</v>
      </c>
      <c r="J22" s="4" t="s">
        <v>40</v>
      </c>
      <c r="K22" s="8" t="s">
        <v>122</v>
      </c>
    </row>
    <row r="23" customFormat="false" ht="19.5" hidden="false" customHeight="true" outlineLevel="0" collapsed="false">
      <c r="A23" s="9" t="s">
        <v>123</v>
      </c>
      <c r="B23" s="9" t="s">
        <v>119</v>
      </c>
      <c r="C23" s="9" t="s">
        <v>120</v>
      </c>
      <c r="D23" s="9" t="s">
        <v>124</v>
      </c>
      <c r="E23" s="5" t="s">
        <v>17</v>
      </c>
      <c r="F23" s="13" t="s">
        <v>32</v>
      </c>
      <c r="G23" s="9" t="s">
        <v>52</v>
      </c>
      <c r="H23" s="10" t="n">
        <v>4</v>
      </c>
      <c r="I23" s="11" t="s">
        <v>125</v>
      </c>
      <c r="J23" s="9" t="s">
        <v>21</v>
      </c>
      <c r="K23" s="12" t="s">
        <v>126</v>
      </c>
    </row>
    <row r="24" customFormat="false" ht="21.75" hidden="false" customHeight="true" outlineLevel="0" collapsed="false">
      <c r="A24" s="16" t="s">
        <v>127</v>
      </c>
      <c r="B24" s="16"/>
      <c r="C24" s="16"/>
      <c r="D24" s="17" t="s">
        <v>17</v>
      </c>
      <c r="E24" s="18" t="s">
        <v>64</v>
      </c>
      <c r="F24" s="19" t="s">
        <v>95</v>
      </c>
      <c r="G24" s="17" t="s">
        <v>128</v>
      </c>
      <c r="H24" s="18" t="s">
        <v>129</v>
      </c>
      <c r="I24" s="20" t="s">
        <v>130</v>
      </c>
      <c r="J24" s="21" t="s">
        <v>131</v>
      </c>
    </row>
    <row r="25" customFormat="false" ht="24" hidden="false" customHeight="true" outlineLevel="0" collapsed="false">
      <c r="A25" s="22"/>
      <c r="B25" s="22"/>
      <c r="C25" s="22"/>
      <c r="D25" s="23" t="n">
        <f aca="false">COUNTIF(E4:E23,"Open")</f>
        <v>17</v>
      </c>
      <c r="E25" s="24" t="n">
        <f aca="false">COUNTIF(E4:E23,"In Progress")</f>
        <v>2</v>
      </c>
      <c r="F25" s="25" t="n">
        <f aca="false">COUNTIF(E4:E23,"Complete")</f>
        <v>1</v>
      </c>
      <c r="G25" s="23" t="n">
        <f aca="false">COUNTIF(F4:F23,"High")</f>
        <v>8</v>
      </c>
      <c r="H25" s="24" t="n">
        <f aca="false">COUNTIF(F4:F23,"Medium")</f>
        <v>8</v>
      </c>
      <c r="I25" s="26" t="n">
        <f aca="false">COUNTIF(F4:F23,"Low")</f>
        <v>4</v>
      </c>
      <c r="J25" s="27" t="n">
        <f aca="false">COUNTA(A4:A23)</f>
        <v>20</v>
      </c>
    </row>
  </sheetData>
  <mergeCells count="4">
    <mergeCell ref="A1:K1"/>
    <mergeCell ref="A2:K2"/>
    <mergeCell ref="A24:C24"/>
    <mergeCell ref="A25:C25"/>
  </mergeCells>
  <dataValidations count="2">
    <dataValidation allowBlank="false" error="Please choose: Open, In Progress, or Complete" errorStyle="stop" errorTitle="Invalid Status" operator="between" showDropDown="false" showErrorMessage="true" showInputMessage="false" sqref="E4:E23" type="list">
      <formula1>"Open,In Progress,Complete"</formula1>
      <formula2>0</formula2>
    </dataValidation>
    <dataValidation allowBlank="false" error="Please choose: High, Medium, or Low" errorStyle="stop" errorTitle="Invalid Priority" operator="between" showDropDown="false" showErrorMessage="true" showInputMessage="false" sqref="F4:F23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14"/>
  </cols>
  <sheetData>
    <row r="1" customFormat="false" ht="36" hidden="false" customHeight="true" outlineLevel="0" collapsed="false">
      <c r="A1" s="28" t="s">
        <v>132</v>
      </c>
      <c r="B1" s="28"/>
      <c r="C1" s="28"/>
      <c r="D1" s="28"/>
      <c r="E1" s="28"/>
      <c r="F1" s="28"/>
      <c r="G1" s="28"/>
      <c r="H1" s="28"/>
    </row>
    <row r="2" customFormat="false" ht="15.75" hidden="false" customHeight="true" outlineLevel="0" collapsed="false">
      <c r="A2" s="2" t="s">
        <v>133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29" t="s">
        <v>131</v>
      </c>
      <c r="B4" s="30" t="s">
        <v>17</v>
      </c>
      <c r="C4" s="31" t="s">
        <v>64</v>
      </c>
      <c r="D4" s="32" t="s">
        <v>95</v>
      </c>
      <c r="E4" s="30" t="s">
        <v>128</v>
      </c>
      <c r="F4" s="33" t="s">
        <v>134</v>
      </c>
    </row>
    <row r="5" customFormat="false" ht="39.75" hidden="false" customHeight="true" outlineLevel="0" collapsed="false">
      <c r="A5" s="34" t="n">
        <f aca="false">COUNTA(OnboardingTasks!A4:A23)</f>
        <v>20</v>
      </c>
      <c r="B5" s="35" t="n">
        <f aca="false">COUNTIF(OnboardingTasks!E4:E23,"Open")</f>
        <v>17</v>
      </c>
      <c r="C5" s="36" t="n">
        <f aca="false">COUNTIF(OnboardingTasks!E4:E23,"In Progress")</f>
        <v>2</v>
      </c>
      <c r="D5" s="37" t="n">
        <f aca="false">COUNTIF(OnboardingTasks!E4:E23,"Complete")</f>
        <v>1</v>
      </c>
      <c r="E5" s="35" t="n">
        <f aca="false">COUNTIF(OnboardingTasks!F4:F23,"High")</f>
        <v>8</v>
      </c>
      <c r="F5" s="38" t="n">
        <f aca="true">COUNTIFS(OnboardingTasks!E4:E23,"Open",OnboardingTasks!D4:D23,"&lt;="&amp;TEXT(TODAY()+7,"DD/MM/YYYY"))</f>
        <v>7</v>
      </c>
    </row>
    <row r="8" customFormat="false" ht="21.75" hidden="false" customHeight="true" outlineLevel="0" collapsed="false">
      <c r="A8" s="39" t="s">
        <v>135</v>
      </c>
      <c r="B8" s="39"/>
      <c r="C8" s="39"/>
      <c r="E8" s="39" t="s">
        <v>136</v>
      </c>
      <c r="F8" s="39"/>
      <c r="G8" s="39"/>
    </row>
    <row r="9" customFormat="false" ht="24" hidden="false" customHeight="true" outlineLevel="0" collapsed="false">
      <c r="A9" s="40" t="s">
        <v>19</v>
      </c>
      <c r="B9" s="41" t="n">
        <f aca="false">COUNTIFS(OnboardingTasks!G4:G23,"Engineering",OnboardingTasks!E4:E23,"Open")</f>
        <v>4</v>
      </c>
      <c r="C9" s="42" t="n">
        <f aca="false">IFERROR(B9/COUNTIF(OnboardingTasks!E4:E23,"Open"),0)</f>
        <v>0.235294117647059</v>
      </c>
      <c r="E9" s="5" t="s">
        <v>18</v>
      </c>
      <c r="F9" s="43" t="n">
        <f aca="false">COUNTIFS(OnboardingTasks!F4:F23,"High",OnboardingTasks!E4:E23,"Open")</f>
        <v>7</v>
      </c>
    </row>
    <row r="10" customFormat="false" ht="24" hidden="false" customHeight="true" outlineLevel="0" collapsed="false">
      <c r="A10" s="40" t="s">
        <v>33</v>
      </c>
      <c r="B10" s="41" t="n">
        <f aca="false">COUNTIFS(OnboardingTasks!G4:G23,"Marketing",OnboardingTasks!E4:E23,"Open")</f>
        <v>4</v>
      </c>
      <c r="C10" s="42" t="n">
        <f aca="false">IFERROR(B10/COUNTIF(OnboardingTasks!E4:E23,"Open"),0)</f>
        <v>0.235294117647059</v>
      </c>
      <c r="E10" s="13" t="s">
        <v>32</v>
      </c>
      <c r="F10" s="44" t="n">
        <f aca="false">COUNTIFS(OnboardingTasks!F4:F23,"Medium",OnboardingTasks!E4:E23,"Open")</f>
        <v>6</v>
      </c>
    </row>
    <row r="11" customFormat="false" ht="24" hidden="false" customHeight="true" outlineLevel="0" collapsed="false">
      <c r="A11" s="40" t="s">
        <v>46</v>
      </c>
      <c r="B11" s="41" t="n">
        <f aca="false">COUNTIFS(OnboardingTasks!G4:G23,"Finance",OnboardingTasks!E4:E23,"Open")</f>
        <v>3</v>
      </c>
      <c r="C11" s="42" t="n">
        <f aca="false">IFERROR(B11/COUNTIF(OnboardingTasks!E4:E23,"Open"),0)</f>
        <v>0.176470588235294</v>
      </c>
      <c r="E11" s="14" t="s">
        <v>69</v>
      </c>
      <c r="F11" s="45" t="n">
        <f aca="false">COUNTIFS(OnboardingTasks!F4:F23,"Low",OnboardingTasks!E4:E23,"Open")</f>
        <v>4</v>
      </c>
    </row>
    <row r="12" customFormat="false" ht="19.5" hidden="false" customHeight="true" outlineLevel="0" collapsed="false">
      <c r="A12" s="40" t="s">
        <v>52</v>
      </c>
      <c r="B12" s="41" t="n">
        <f aca="false">COUNTIFS(OnboardingTasks!G4:G23,"HR",OnboardingTasks!E4:E23,"Open")</f>
        <v>4</v>
      </c>
      <c r="C12" s="42" t="n">
        <f aca="false">IFERROR(B12/COUNTIF(OnboardingTasks!E4:E23,"Open"),0)</f>
        <v>0.235294117647059</v>
      </c>
    </row>
    <row r="13" customFormat="false" ht="19.5" hidden="false" customHeight="true" outlineLevel="0" collapsed="false">
      <c r="A13" s="40" t="s">
        <v>65</v>
      </c>
      <c r="B13" s="41" t="n">
        <f aca="false">COUNTIFS(OnboardingTasks!G4:G23,"Sales",OnboardingTasks!E4:E23,"Open")</f>
        <v>2</v>
      </c>
      <c r="C13" s="42" t="n">
        <f aca="false">IFERROR(B13/COUNTIF(OnboardingTasks!E4:E23,"Open"),0)</f>
        <v>0.117647058823529</v>
      </c>
    </row>
    <row r="16" customFormat="false" ht="15" hidden="false" customHeight="true" outlineLevel="0" collapsed="false">
      <c r="A16" s="46" t="s">
        <v>137</v>
      </c>
      <c r="B16" s="46"/>
      <c r="C16" s="46"/>
      <c r="D16" s="46"/>
      <c r="E16" s="46"/>
      <c r="F16" s="46"/>
    </row>
    <row r="17" customFormat="false" ht="19.5" hidden="false" customHeight="true" outlineLevel="0" collapsed="false">
      <c r="A17" s="47" t="s">
        <v>138</v>
      </c>
      <c r="B17" s="48" t="s">
        <v>139</v>
      </c>
      <c r="C17" s="49" t="s">
        <v>140</v>
      </c>
      <c r="D17" s="49"/>
      <c r="E17" s="49"/>
      <c r="F17" s="49"/>
    </row>
    <row r="18" customFormat="false" ht="19.5" hidden="false" customHeight="true" outlineLevel="0" collapsed="false">
      <c r="A18" s="47" t="s">
        <v>141</v>
      </c>
      <c r="B18" s="48" t="s">
        <v>6</v>
      </c>
      <c r="C18" s="49" t="s">
        <v>142</v>
      </c>
      <c r="D18" s="49"/>
      <c r="E18" s="49"/>
      <c r="F18" s="49"/>
    </row>
    <row r="19" customFormat="false" ht="19.5" hidden="false" customHeight="true" outlineLevel="0" collapsed="false">
      <c r="A19" s="47" t="s">
        <v>143</v>
      </c>
      <c r="B19" s="48" t="s">
        <v>17</v>
      </c>
      <c r="C19" s="49" t="s">
        <v>144</v>
      </c>
      <c r="D19" s="49"/>
      <c r="E19" s="49"/>
      <c r="F19" s="49"/>
    </row>
    <row r="20" customFormat="false" ht="19.5" hidden="false" customHeight="true" outlineLevel="0" collapsed="false">
      <c r="A20" s="47" t="s">
        <v>145</v>
      </c>
      <c r="B20" s="48" t="s">
        <v>146</v>
      </c>
      <c r="C20" s="49" t="s">
        <v>147</v>
      </c>
      <c r="D20" s="49"/>
      <c r="E20" s="49"/>
      <c r="F20" s="49"/>
    </row>
    <row r="21" customFormat="false" ht="19.5" hidden="false" customHeight="true" outlineLevel="0" collapsed="false">
      <c r="A21" s="47" t="s">
        <v>148</v>
      </c>
      <c r="B21" s="48" t="s">
        <v>149</v>
      </c>
      <c r="C21" s="49" t="s">
        <v>150</v>
      </c>
      <c r="D21" s="49"/>
      <c r="E21" s="49"/>
      <c r="F21" s="49"/>
    </row>
    <row r="22" customFormat="false" ht="19.5" hidden="false" customHeight="true" outlineLevel="0" collapsed="false">
      <c r="A22" s="47" t="s">
        <v>151</v>
      </c>
      <c r="B22" s="48" t="s">
        <v>152</v>
      </c>
      <c r="C22" s="49" t="s">
        <v>153</v>
      </c>
      <c r="D22" s="49"/>
      <c r="E22" s="49"/>
      <c r="F22" s="49"/>
    </row>
  </sheetData>
  <mergeCells count="11">
    <mergeCell ref="A1:H1"/>
    <mergeCell ref="A2:H2"/>
    <mergeCell ref="A8:C8"/>
    <mergeCell ref="E8:G8"/>
    <mergeCell ref="A16:F16"/>
    <mergeCell ref="C17:F17"/>
    <mergeCell ref="C18:F18"/>
    <mergeCell ref="C19:F19"/>
    <mergeCell ref="C20:F20"/>
    <mergeCell ref="C21:F21"/>
    <mergeCell ref="C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2"/>
    <col collapsed="false" customWidth="true" hidden="false" outlineLevel="0" max="5" min="4" style="0" width="30"/>
  </cols>
  <sheetData>
    <row r="1" customFormat="false" ht="31.5" hidden="false" customHeight="true" outlineLevel="0" collapsed="false">
      <c r="A1" s="1" t="s">
        <v>154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155</v>
      </c>
      <c r="B2" s="2"/>
      <c r="C2" s="2"/>
      <c r="D2" s="2"/>
      <c r="E2" s="2"/>
    </row>
    <row r="3" customFormat="false" ht="21.75" hidden="false" customHeight="true" outlineLevel="0" collapsed="false">
      <c r="A3" s="3" t="s">
        <v>156</v>
      </c>
      <c r="B3" s="3" t="s">
        <v>157</v>
      </c>
      <c r="C3" s="3" t="s">
        <v>158</v>
      </c>
      <c r="D3" s="3" t="s">
        <v>159</v>
      </c>
      <c r="E3" s="3" t="s">
        <v>160</v>
      </c>
    </row>
    <row r="4" customFormat="false" ht="18.75" hidden="false" customHeight="true" outlineLevel="0" collapsed="false">
      <c r="A4" s="50" t="s">
        <v>161</v>
      </c>
      <c r="B4" s="51" t="s">
        <v>162</v>
      </c>
      <c r="C4" s="51" t="s">
        <v>163</v>
      </c>
      <c r="D4" s="48" t="s">
        <v>164</v>
      </c>
      <c r="E4" s="7"/>
    </row>
    <row r="5" customFormat="false" ht="18.75" hidden="false" customHeight="true" outlineLevel="0" collapsed="false">
      <c r="A5" s="50" t="s">
        <v>161</v>
      </c>
      <c r="B5" s="52" t="s">
        <v>162</v>
      </c>
      <c r="C5" s="52" t="s">
        <v>165</v>
      </c>
      <c r="D5" s="48" t="s">
        <v>166</v>
      </c>
      <c r="E5" s="11" t="s">
        <v>167</v>
      </c>
    </row>
    <row r="6" customFormat="false" ht="18.75" hidden="false" customHeight="true" outlineLevel="0" collapsed="false">
      <c r="A6" s="50" t="s">
        <v>161</v>
      </c>
      <c r="B6" s="51" t="s">
        <v>162</v>
      </c>
      <c r="C6" s="51" t="s">
        <v>168</v>
      </c>
      <c r="D6" s="48" t="s">
        <v>169</v>
      </c>
      <c r="E6" s="7" t="s">
        <v>170</v>
      </c>
    </row>
    <row r="7" customFormat="false" ht="18.75" hidden="false" customHeight="true" outlineLevel="0" collapsed="false">
      <c r="A7" s="53" t="s">
        <v>171</v>
      </c>
      <c r="B7" s="52" t="s">
        <v>172</v>
      </c>
      <c r="C7" s="52" t="s">
        <v>173</v>
      </c>
      <c r="D7" s="48" t="s">
        <v>174</v>
      </c>
      <c r="E7" s="11" t="s">
        <v>175</v>
      </c>
    </row>
    <row r="8" customFormat="false" ht="18.75" hidden="false" customHeight="true" outlineLevel="0" collapsed="false">
      <c r="A8" s="53" t="s">
        <v>171</v>
      </c>
      <c r="B8" s="51" t="s">
        <v>172</v>
      </c>
      <c r="C8" s="51" t="s">
        <v>176</v>
      </c>
      <c r="D8" s="48" t="s">
        <v>139</v>
      </c>
      <c r="E8" s="7" t="s">
        <v>177</v>
      </c>
    </row>
    <row r="9" customFormat="false" ht="18.75" hidden="false" customHeight="true" outlineLevel="0" collapsed="false">
      <c r="A9" s="53" t="s">
        <v>171</v>
      </c>
      <c r="B9" s="52" t="s">
        <v>172</v>
      </c>
      <c r="C9" s="52" t="s">
        <v>141</v>
      </c>
      <c r="D9" s="48" t="s">
        <v>6</v>
      </c>
      <c r="E9" s="11"/>
    </row>
    <row r="10" customFormat="false" ht="18.75" hidden="false" customHeight="true" outlineLevel="0" collapsed="false">
      <c r="A10" s="53" t="s">
        <v>171</v>
      </c>
      <c r="B10" s="51" t="s">
        <v>172</v>
      </c>
      <c r="C10" s="51" t="s">
        <v>143</v>
      </c>
      <c r="D10" s="48" t="s">
        <v>17</v>
      </c>
      <c r="E10" s="7" t="s">
        <v>178</v>
      </c>
    </row>
    <row r="11" customFormat="false" ht="18.75" hidden="false" customHeight="true" outlineLevel="0" collapsed="false">
      <c r="A11" s="54" t="s">
        <v>179</v>
      </c>
      <c r="B11" s="52" t="s">
        <v>180</v>
      </c>
      <c r="C11" s="52" t="s">
        <v>181</v>
      </c>
      <c r="D11" s="48" t="s">
        <v>182</v>
      </c>
      <c r="E11" s="11" t="s">
        <v>183</v>
      </c>
    </row>
    <row r="12" customFormat="false" ht="18.75" hidden="false" customHeight="true" outlineLevel="0" collapsed="false">
      <c r="A12" s="55" t="s">
        <v>184</v>
      </c>
      <c r="B12" s="51" t="s">
        <v>185</v>
      </c>
      <c r="C12" s="51" t="s">
        <v>186</v>
      </c>
      <c r="D12" s="48" t="s">
        <v>187</v>
      </c>
      <c r="E12" s="7"/>
    </row>
    <row r="13" customFormat="false" ht="18.75" hidden="false" customHeight="true" outlineLevel="0" collapsed="false">
      <c r="A13" s="55" t="s">
        <v>184</v>
      </c>
      <c r="B13" s="52" t="s">
        <v>185</v>
      </c>
      <c r="C13" s="52" t="s">
        <v>188</v>
      </c>
      <c r="D13" s="48" t="s">
        <v>189</v>
      </c>
      <c r="E13" s="11" t="s">
        <v>190</v>
      </c>
    </row>
    <row r="14" customFormat="false" ht="18.75" hidden="false" customHeight="true" outlineLevel="0" collapsed="false">
      <c r="A14" s="56" t="s">
        <v>191</v>
      </c>
      <c r="B14" s="51" t="s">
        <v>192</v>
      </c>
      <c r="C14" s="51" t="s">
        <v>186</v>
      </c>
      <c r="D14" s="48" t="s">
        <v>193</v>
      </c>
      <c r="E14" s="7"/>
    </row>
    <row r="15" customFormat="false" ht="18.75" hidden="false" customHeight="true" outlineLevel="0" collapsed="false">
      <c r="A15" s="56" t="s">
        <v>191</v>
      </c>
      <c r="B15" s="52" t="s">
        <v>192</v>
      </c>
      <c r="C15" s="52" t="s">
        <v>194</v>
      </c>
      <c r="D15" s="48" t="s">
        <v>195</v>
      </c>
      <c r="E15" s="11" t="s">
        <v>196</v>
      </c>
    </row>
    <row r="16" customFormat="false" ht="18.75" hidden="false" customHeight="true" outlineLevel="0" collapsed="false">
      <c r="A16" s="50" t="s">
        <v>197</v>
      </c>
      <c r="B16" s="51" t="s">
        <v>198</v>
      </c>
      <c r="C16" s="51" t="s">
        <v>199</v>
      </c>
      <c r="D16" s="48" t="s">
        <v>200</v>
      </c>
      <c r="E16" s="7" t="s">
        <v>201</v>
      </c>
    </row>
    <row r="17" customFormat="false" ht="18.75" hidden="false" customHeight="true" outlineLevel="0" collapsed="false">
      <c r="A17" s="50" t="s">
        <v>197</v>
      </c>
      <c r="B17" s="52" t="s">
        <v>198</v>
      </c>
      <c r="C17" s="52" t="s">
        <v>202</v>
      </c>
      <c r="D17" s="48" t="s">
        <v>203</v>
      </c>
      <c r="E17" s="11" t="s">
        <v>204</v>
      </c>
    </row>
    <row r="18" customFormat="false" ht="18.75" hidden="false" customHeight="true" outlineLevel="0" collapsed="false">
      <c r="A18" s="55" t="s">
        <v>205</v>
      </c>
      <c r="B18" s="51" t="s">
        <v>206</v>
      </c>
      <c r="C18" s="51" t="s">
        <v>186</v>
      </c>
      <c r="D18" s="48" t="s">
        <v>207</v>
      </c>
      <c r="E18" s="7"/>
    </row>
    <row r="19" customFormat="false" ht="18.75" hidden="false" customHeight="true" outlineLevel="0" collapsed="false">
      <c r="A19" s="55" t="s">
        <v>205</v>
      </c>
      <c r="B19" s="52" t="s">
        <v>206</v>
      </c>
      <c r="C19" s="52" t="s">
        <v>208</v>
      </c>
      <c r="D19" s="48" t="s">
        <v>209</v>
      </c>
      <c r="E19" s="11" t="s">
        <v>210</v>
      </c>
    </row>
    <row r="20" customFormat="false" ht="18.75" hidden="false" customHeight="true" outlineLevel="0" collapsed="false">
      <c r="A20" s="55" t="s">
        <v>205</v>
      </c>
      <c r="B20" s="51" t="s">
        <v>206</v>
      </c>
      <c r="C20" s="51" t="s">
        <v>202</v>
      </c>
      <c r="D20" s="48" t="s">
        <v>211</v>
      </c>
      <c r="E20" s="7" t="s">
        <v>212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2026-03-07T07:23:58Z</dcterms:created>
  <dc:creator>openpyxl</dc:creator>
  <dc:description/>
  <dc:language>en-US</dc:language>
  <cp:lastModifiedBy/>
  <dcterms:modified xsi:type="dcterms:W3CDTF">2026-03-07T07:23:58Z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